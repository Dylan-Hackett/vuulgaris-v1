
<file path=[Content_Types].xml><?xml version="1.0" encoding="utf-8"?>
<Types xmlns="http://schemas.openxmlformats.org/package/2006/content-types">
  <Default Extension="fntdata" ContentType="application/x-fontdata"/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>
  <fileVersion appName="Calc" lowestEdited="4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BOM" sheetId="1" state="visible" r:id="rId3"/>
    <sheet name="Cost levers" sheetId="2" state="visible" r:id="rId4"/>
    <sheet name="Stock watch" sheetId="3" state="visible" r:id="rId5"/>
    <sheet name="Legend" sheetId="4" state="visible" r:id="rId6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<sst xmlns="http://schemas.openxmlformats.org/spreadsheetml/2006/main" count="267" uniqueCount="211">
  <si>
    <t xml:space="preserve">Vuulgaris V1 - Bill of Materials</t>
  </si>
  <si>
    <t xml:space="preserve">Prototype quantity (qty 1) pricing. Blue = confirmed price from a real listing. Black = estimate, not verified.</t>
  </si>
  <si>
    <t xml:space="preserve">Source: docs/design-state.md section 10. Update Qty and Unit Price; Ext Price and all totals are formulas.</t>
  </si>
  <si>
    <t xml:space="preserve">Ref</t>
  </si>
  <si>
    <t xml:space="preserve">Category</t>
  </si>
  <si>
    <t xml:space="preserve">Part / Description</t>
  </si>
  <si>
    <t xml:space="preserve">MPN or Part #</t>
  </si>
  <si>
    <t xml:space="preserve">Source</t>
  </si>
  <si>
    <t xml:space="preserve">Part Link / Notes</t>
  </si>
  <si>
    <t xml:space="preserve">Qty</t>
  </si>
  <si>
    <t xml:space="preserve">Unit Price</t>
  </si>
  <si>
    <t xml:space="preserve">Ext Price</t>
  </si>
  <si>
    <t xml:space="preserve">Confirmed?</t>
  </si>
  <si>
    <t xml:space="preserve">Stock</t>
  </si>
  <si>
    <t xml:space="preserve">Notes</t>
  </si>
  <si>
    <t xml:space="preserve">U1</t>
  </si>
  <si>
    <t xml:space="preserve">Core</t>
  </si>
  <si>
    <t xml:space="preserve">Daisy Patch SM (STM32H750 audio engine)</t>
  </si>
  <si>
    <t xml:space="preserve">Patch SM</t>
  </si>
  <si>
    <t xml:space="preserve">Electrosmith direct</t>
  </si>
  <si>
    <t xml:space="preserve">electro-smith.com - buy direct, resellers ~$51</t>
  </si>
  <si>
    <t xml:space="preserve">Yes</t>
  </si>
  <si>
    <t xml:space="preserve">Biggest single line. ADR 0008.</t>
  </si>
  <si>
    <t xml:space="preserve">U2</t>
  </si>
  <si>
    <t xml:space="preserve">Touch</t>
  </si>
  <si>
    <t xml:space="preserve">MSP430FR2675TPTR CapTIvate MCU, LQFP-48 (PT)</t>
  </si>
  <si>
    <t xml:space="preserve">MSP430FR2675TPTR</t>
  </si>
  <si>
    <t xml:space="preserve">LCSC</t>
  </si>
  <si>
    <t xml:space="preserve">C2052972</t>
  </si>
  <si>
    <t xml:space="preserve">10</t>
  </si>
  <si>
    <t xml:space="preserve">PROTO QTY ONLY. Reels of 1000 available. ADR 0002.</t>
  </si>
  <si>
    <t xml:space="preserve">DS1</t>
  </si>
  <si>
    <t xml:space="preserve">Display</t>
  </si>
  <si>
    <t xml:space="preserve">2.42" SSD1309 OLED 128x64 SPI, bare panel + FPC</t>
  </si>
  <si>
    <t xml:space="preserve">HS242L01W4S01</t>
  </si>
  <si>
    <t xml:space="preserve">C5139768</t>
  </si>
  <si>
    <t xml:space="preserve">27</t>
  </si>
  <si>
    <t xml:space="preserve">PROTO QTY ONLY. Second-source for production. ADR 0006.</t>
  </si>
  <si>
    <t xml:space="preserve">J1</t>
  </si>
  <si>
    <t xml:space="preserve">Storage</t>
  </si>
  <si>
    <t xml:space="preserve">microSD socket, vertical</t>
  </si>
  <si>
    <t xml:space="preserve">PJS008U-3000-0 (ref)</t>
  </si>
  <si>
    <t xml:space="preserve">C393941</t>
  </si>
  <si>
    <t xml:space="preserve">205170</t>
  </si>
  <si>
    <t xml:space="preserve">JLC flags: needs an assembly fixture for placement.</t>
  </si>
  <si>
    <t xml:space="preserve">VT1-4</t>
  </si>
  <si>
    <t xml:space="preserve">Analog</t>
  </si>
  <si>
    <t xml:space="preserve">Vactrol, VTL5C3 or VTL5C3/2 dual</t>
  </si>
  <si>
    <t xml:space="preserve">VTL5C3</t>
  </si>
  <si>
    <t xml:space="preserve">Xvive reissue</t>
  </si>
  <si>
    <t xml:space="preserve">Excelitas line discontinued. Duals give a matched stereo pair per package.</t>
  </si>
  <si>
    <t xml:space="preserve">No</t>
  </si>
  <si>
    <t xml:space="preserve">COST LEVER #1. $5-8 ea. RoHS/cadmium UNVERIFIED - Q5. ADR 0007.</t>
  </si>
  <si>
    <t xml:space="preserve">U3-6</t>
  </si>
  <si>
    <t xml:space="preserve">Op amps for LPG (TL07x class)</t>
  </si>
  <si>
    <t xml:space="preserve">TL074 / TL072</t>
  </si>
  <si>
    <t xml:space="preserve">Count depends on final Bergman redraw</t>
  </si>
  <si>
    <t xml:space="preserve">Est $3-6 total.</t>
  </si>
  <si>
    <t xml:space="preserve">D1-20</t>
  </si>
  <si>
    <t xml:space="preserve">ESD</t>
  </si>
  <si>
    <t xml:space="preserve">TVS diode, ESD clamp, one per electrode</t>
  </si>
  <si>
    <t xml:space="preserve">TPD1E10B06</t>
  </si>
  <si>
    <t xml:space="preserve">TI-named part in the no-overlay fallback</t>
  </si>
  <si>
    <t xml:space="preserve">5 electrodes x 4 pads. ADR 0004.</t>
  </si>
  <si>
    <t xml:space="preserve">R1-20</t>
  </si>
  <si>
    <t xml:space="preserve">Series resistor 470R-1k, one per electrode</t>
  </si>
  <si>
    <t xml:space="preserve">470R-1k 0402/0603</t>
  </si>
  <si>
    <t xml:space="preserve">On the MCU side of the TVS</t>
  </si>
  <si>
    <t xml:space="preserve">R21-24</t>
  </si>
  <si>
    <t xml:space="preserve">BSL</t>
  </si>
  <si>
    <t xml:space="preserve">Resistor pair, 5V to 3.3V divider on BSL RST + TEST</t>
  </si>
  <si>
    <t xml:space="preserve">1.8k / 3.3k 0603</t>
  </si>
  <si>
    <t xml:space="preserve">Gate outs are 0-5V; MSP430 I/O abs max is DVCC+0.3 = 3.6V</t>
  </si>
  <si>
    <t xml:space="preserve">2 per line, 2 lines (B5, B6). Scope the edges before writing BSL code. Q13.</t>
  </si>
  <si>
    <t xml:space="preserve">RV1-12</t>
  </si>
  <si>
    <t xml:space="preserve">Controls</t>
  </si>
  <si>
    <t xml:space="preserve">Potentiometer, 9mm linear 10K - channel (2 per ch)</t>
  </si>
  <si>
    <t xml:space="preserve">RD901F-40-15F-B10K-00D70</t>
  </si>
  <si>
    <t xml:space="preserve">Alpha / Thonk</t>
  </si>
  <si>
    <t xml:space="preserve">CV_1-CV_8 (C2-C9). Wire top of pot to 5V OUT (A6).</t>
  </si>
  <si>
    <t xml:space="preserve">ADR 0009. Input-only pins, zero GPIO cost.</t>
  </si>
  <si>
    <t xml:space="preserve">RV9-10</t>
  </si>
  <si>
    <t xml:space="preserve">Potentiometer, 9mm linear 10K - env A/R + CV amt L/R</t>
  </si>
  <si>
    <t xml:space="preserve">A2 attack, A3 release, D9 CV amt L, D8 CV amt R. Wire to 3V3 OUT (A10).</t>
  </si>
  <si>
    <t xml:space="preserve">One envelope shared; per-side CV amount. ADR 0009.</t>
  </si>
  <si>
    <t xml:space="preserve">RV13</t>
  </si>
  <si>
    <t xml:space="preserve">Potentiometer, DUAL-GANG (stereo) 10K - LPG offset</t>
  </si>
  <si>
    <t xml:space="preserve">dual-gang 10K</t>
  </si>
  <si>
    <t xml:space="preserve">LCSC / Thonk</t>
  </si>
  <si>
    <t xml:space="preserve">NOT on the Daisy. Sums into both L and R LPG control inputs on the analog board.</t>
  </si>
  <si>
    <t xml:space="preserve">0 ADC pins. Cannot be preset-saved: Daisy never reads it. ADR 0007.</t>
  </si>
  <si>
    <t xml:space="preserve">ENC1</t>
  </si>
  <si>
    <t xml:space="preserve">Rotary encoder with push</t>
  </si>
  <si>
    <t xml:space="preserve">Main PCB per IO plan B</t>
  </si>
  <si>
    <t xml:space="preserve">SW1</t>
  </si>
  <si>
    <t xml:space="preserve">Mode switch: stereo VCF or stereo VCA (2-position)</t>
  </si>
  <si>
    <t xml:space="preserve">TBD</t>
  </si>
  <si>
    <t xml:space="preserve">DPDT, one pole per stereo side. Commodity part.</t>
  </si>
  <si>
    <t xml:space="preserve">Was 4P3T. Two positions now, so no availability risk. Closes Q6. ADR 0007.</t>
  </si>
  <si>
    <t xml:space="preserve">SW2</t>
  </si>
  <si>
    <t xml:space="preserve">Source switch, DPDT break-before-make</t>
  </si>
  <si>
    <t xml:space="preserve">Non-shorting. 100k-1M to gnd on common + DC blocking caps</t>
  </si>
  <si>
    <t xml:space="preserve">ADR 0007.</t>
  </si>
  <si>
    <t xml:space="preserve">U7</t>
  </si>
  <si>
    <t xml:space="preserve">CD4051 analog mux - NOT USED</t>
  </si>
  <si>
    <t xml:space="preserve">CD4051</t>
  </si>
  <si>
    <t xml:space="preserve">Would spend 3 GPIO on select lines to save 2. Wrong tool here.</t>
  </si>
  <si>
    <t xml:space="preserve">REMOVED per ADR 0009. Zero spare GPIO for select lines anyway.</t>
  </si>
  <si>
    <t xml:space="preserve">J2-9</t>
  </si>
  <si>
    <t xml:space="preserve">IO</t>
  </si>
  <si>
    <t xml:space="preserve">3.5mm jack: audio out L/R + external in L/R</t>
  </si>
  <si>
    <t xml:space="preserve">WQP-WQP518MA</t>
  </si>
  <si>
    <t xml:space="preserve">Thonk</t>
  </si>
  <si>
    <t xml:space="preserve">No CV or gate jacks (ADR 0009). Stereo out + stereo external in for the source switch.</t>
  </si>
  <si>
    <t xml:space="preserve">Was 8. Revise if a headphone out or mono sum is added.</t>
  </si>
  <si>
    <t xml:space="preserve">J10</t>
  </si>
  <si>
    <t xml:space="preserve">Board-to-board connector, faceplate &lt;-&gt; main</t>
  </si>
  <si>
    <t xml:space="preserve">~8-10 pins: 3V3, GND, UART, I2C, IRQ, RST, TEST</t>
  </si>
  <si>
    <t xml:space="preserve">Test points on all four signals.</t>
  </si>
  <si>
    <t xml:space="preserve">J11</t>
  </si>
  <si>
    <t xml:space="preserve">CAPTIVATE-PGMR connector (faceplate, DNP on production)</t>
  </si>
  <si>
    <t xml:space="preserve">TI</t>
  </si>
  <si>
    <t xml:space="preserve">Required for Design Center live tuning</t>
  </si>
  <si>
    <t xml:space="preserve">Leave unpopulated on production. ADR 0005.</t>
  </si>
  <si>
    <t xml:space="preserve">PCB1</t>
  </si>
  <si>
    <t xml:space="preserve">PCB</t>
  </si>
  <si>
    <t xml:space="preserve">Faceplate PCB, 4-layer, ENIG, ~219 x 110mm</t>
  </si>
  <si>
    <t xml:space="preserve">JLCPCB</t>
  </si>
  <si>
    <t xml:space="preserve">L1 electrodes / L2 traces / L3 hatched gnd / L4 MCU</t>
  </si>
  <si>
    <t xml:space="preserve">ENIG NOT HASL. ADR 0004. Est $20-50 for both boards.</t>
  </si>
  <si>
    <t xml:space="preserve">PCB2</t>
  </si>
  <si>
    <t xml:space="preserve">Main PCB</t>
  </si>
  <si>
    <t xml:space="preserve">PWR1</t>
  </si>
  <si>
    <t xml:space="preserve">Power</t>
  </si>
  <si>
    <t xml:space="preserve">3V3 regulator + local filtering at MSP430</t>
  </si>
  <si>
    <t xml:space="preserve">Do NOT share the rail with audio circuitry</t>
  </si>
  <si>
    <t xml:space="preserve">LPG is on +/-12V.</t>
  </si>
  <si>
    <t xml:space="preserve">MISC</t>
  </si>
  <si>
    <t xml:space="preserve">Passives</t>
  </si>
  <si>
    <t xml:space="preserve">Discretes and passives, whole board</t>
  </si>
  <si>
    <t xml:space="preserve">Decoupling at the MCU, LPG passives, charge-pump caps + IREF for the OLED</t>
  </si>
  <si>
    <t xml:space="preserve">Est $14-24.</t>
  </si>
  <si>
    <t xml:space="preserve">CONFIRMED SUBTOTAL (blue prices only)</t>
  </si>
  <si>
    <t xml:space="preserve">ESTIMATED SUBTOTAL (unverified)</t>
  </si>
  <si>
    <t xml:space="preserve">TOTAL, qty 1</t>
  </si>
  <si>
    <t xml:space="preserve">Design-state section 10 sanity range: $125-200 at prototype quantity.</t>
  </si>
  <si>
    <t xml:space="preserve">ENCLOSURE IS NOT IN THIS LIST. Prior design was CNC walnut. Cost lever #3 and currently unbounded.</t>
  </si>
  <si>
    <t xml:space="preserve">Green rows changed 2026-08-06 with the resolved IO plan (ADR 0009): 10 pots not 12, DPDT mode switch, no mux, BSL dividers added.</t>
  </si>
  <si>
    <t xml:space="preserve">Cost levers, in priority order</t>
  </si>
  <si>
    <t xml:space="preserve">From docs/design-state.md section 10.</t>
  </si>
  <si>
    <t xml:space="preserve">#</t>
  </si>
  <si>
    <t xml:space="preserve">Lever</t>
  </si>
  <si>
    <t xml:space="preserve">Current cost</t>
  </si>
  <si>
    <t xml:space="preserve">Alternative</t>
  </si>
  <si>
    <t xml:space="preserve">Saving</t>
  </si>
  <si>
    <t xml:space="preserve">Trade-off</t>
  </si>
  <si>
    <t xml:space="preserve">Vactrols (4x)</t>
  </si>
  <si>
    <t xml:space="preserve">Match cheaper LDR+LED cells by measurement, or accept 2 and go mono LPG</t>
  </si>
  <si>
    <t xml:space="preserve">Hand-matching labour per unit, or losing stereo. Also the RoHS/cadmium exposure sits here.</t>
  </si>
  <si>
    <t xml:space="preserve">Display 2.42" -&gt; 1.54"</t>
  </si>
  <si>
    <t xml:space="preserve">LCSC C5139767, 1.54" SPI, 49 in stock</t>
  </si>
  <si>
    <t xml:space="preserve">2.42" is 2.5x the diagonal at the same pixel count. Real loss in legibility.</t>
  </si>
  <si>
    <t xml:space="preserve">Enclosure</t>
  </si>
  <si>
    <t xml:space="preserve">Not costed at all. Prior design was CNC walnut.</t>
  </si>
  <si>
    <t xml:space="preserve">Unbounded. This is the largest unknown in the whole BOM.</t>
  </si>
  <si>
    <t xml:space="preserve">Stock watch</t>
  </si>
  <si>
    <t xml:space="preserve">Parts where availability, not price, is the risk. Re-check before every order.</t>
  </si>
  <si>
    <t xml:space="preserve">Part</t>
  </si>
  <si>
    <t xml:space="preserve">LCSC #</t>
  </si>
  <si>
    <t xml:space="preserve">Stock at last check</t>
  </si>
  <si>
    <t xml:space="preserve">Production path</t>
  </si>
  <si>
    <t xml:space="preserve">Risk</t>
  </si>
  <si>
    <t xml:space="preserve">LCSC-Reels, 1000 pcs</t>
  </si>
  <si>
    <t xml:space="preserve">HIGH. Prototype quantity only. Reel is a real cash commitment and there is no second source for CapTIvate.</t>
  </si>
  <si>
    <t xml:space="preserve">2.42" SSD1309 SPI</t>
  </si>
  <si>
    <t xml:space="preserve">Second-source outside LCSC</t>
  </si>
  <si>
    <t xml:space="preserve">MEDIUM. Commodity format, widely available elsewhere. C5139769 has 8. I2C versions stock better but I2C is the interference-worst choice.</t>
  </si>
  <si>
    <t xml:space="preserve">microSD socket</t>
  </si>
  <si>
    <t xml:space="preserve">205,170</t>
  </si>
  <si>
    <t xml:space="preserve">LCSC, plus 600k at 6-8 day lead</t>
  </si>
  <si>
    <t xml:space="preserve">LOW. But JLC needs an assembly fixture to place it.</t>
  </si>
  <si>
    <t xml:space="preserve">Vactrols (VTL5C3)</t>
  </si>
  <si>
    <t xml:space="preserve">n/a</t>
  </si>
  <si>
    <t xml:space="preserve">MEDIUM. Excelitas discontinued the line. Xvive LED is brighter, giving longer release, so drive current needs trimming. RoHS status UNVERIFIED.</t>
  </si>
  <si>
    <t xml:space="preserve">How to use this workbook</t>
  </si>
  <si>
    <t xml:space="preserve">Edit these columns only</t>
  </si>
  <si>
    <t xml:space="preserve">Qty (G) and Unit Price (H) on the BOM sheet. Ext Price, subtotals and the total are formulas and will update.</t>
  </si>
  <si>
    <t xml:space="preserve">Blue price text</t>
  </si>
  <si>
    <t xml:space="preserve">Confirmed against a real listing at qty 1. Trust these.</t>
  </si>
  <si>
    <t xml:space="preserve">Black price text</t>
  </si>
  <si>
    <t xml:space="preserve">Estimate from design-state section 10. Not verified. Confirmed? column reads No.</t>
  </si>
  <si>
    <t xml:space="preserve">Amber Confirmed? cell</t>
  </si>
  <si>
    <t xml:space="preserve">Price is an estimate. Replace with a real quote before this number is used for anything.</t>
  </si>
  <si>
    <t xml:space="preserve">Amber Stock cell</t>
  </si>
  <si>
    <t xml:space="preserve">Fewer than 100 units available. Prototype quantity, not a production quantity.</t>
  </si>
  <si>
    <t xml:space="preserve">Example row format</t>
  </si>
  <si>
    <t xml:space="preserve">U2 / Touch / MSP430FR2675TPTR CapTIvate MCU, LQFP-48 (PT) / MSP430FR2675TPTR / LCSC / C2052972 / 1 / $4.49 / Yes / 10</t>
  </si>
  <si>
    <t xml:space="preserve">Assumption: vactrol unit price</t>
  </si>
  <si>
    <t xml:space="preserve">$6.50 taken as the midpoint of the $5-8 range in design-state section 6. Not a quote.</t>
  </si>
  <si>
    <t xml:space="preserve">Assumption: PCB split</t>
  </si>
  <si>
    <t xml:space="preserve">$25 faceplate + $15 main, inside the $20-50 combined estimate in design-state section 10. 4-layer ENIG at low qty.</t>
  </si>
  <si>
    <t xml:space="preserve">Assumption: pot count</t>
  </si>
  <si>
    <t xml:space="preserve">12, per IO plan A. Plan B also lands on 12 but allocates them differently. Unresolved: docs/notes/open-questions.md Q3.</t>
  </si>
  <si>
    <t xml:space="preserve">Assumption: jack count</t>
  </si>
  <si>
    <t xml:space="preserve">8. Not yet fixed. IO plan B has no CV jacks into the Daisy, which would reduce this.</t>
  </si>
  <si>
    <t xml:space="preserve">Assumption: op amp count</t>
  </si>
  <si>
    <t xml:space="preserve">4 packages. Depends on the final Bergman redraw and is a placeholder.</t>
  </si>
  <si>
    <t xml:space="preserve">Not included</t>
  </si>
  <si>
    <t xml:space="preserve">Enclosure. CAPTIVATE-PGMR + FR2676 + BSWP dev kit (one-off tooling, roughly $50-150, not per-unit). Shipping, tax, assembly labour, JLC setup fees.</t>
  </si>
  <si>
    <t xml:space="preserve">Source of all confirmed prices</t>
  </si>
  <si>
    <t xml:space="preserve">docs/design-state.md section 10, LCSC and Electrosmith listings at qty 1.</t>
  </si>
</sst>
</file>

<file path=xl/styles.xml><?xml version="1.0" encoding="utf-8"?>
<styleSheet xmlns="http://schemas.openxmlformats.org/spreadsheetml/2006/main">
  <numFmts count="3">
    <numFmt numFmtId="164" formatCode="General"/>
    <numFmt numFmtId="165" formatCode="\$#,##0.00"/>
    <numFmt numFmtId="166" formatCode="\$#,##0.00"/>
  </numFmts>
  <fonts count="13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3"/>
      <name val="Arial"/>
      <family val="0"/>
      <charset val="1"/>
    </font>
    <font>
      <i val="true"/>
      <sz val="9"/>
      <color rgb="FF666666"/>
      <name val="Arial"/>
      <family val="0"/>
      <charset val="1"/>
    </font>
    <font>
      <b val="true"/>
      <sz val="10"/>
      <color rgb="FFFFFFFF"/>
      <name val="Arial"/>
      <family val="0"/>
      <charset val="1"/>
    </font>
    <font>
      <sz val="10"/>
      <name val="Arial"/>
      <family val="0"/>
      <charset val="1"/>
    </font>
    <font>
      <sz val="10"/>
      <color rgb="FF0000FF"/>
      <name val="Arial"/>
      <family val="0"/>
      <charset val="1"/>
    </font>
    <font>
      <b val="true"/>
      <sz val="10"/>
      <name val="Arial"/>
      <family val="0"/>
      <charset val="1"/>
    </font>
    <font>
      <b val="true"/>
      <sz val="10"/>
      <color rgb="FFB45309"/>
      <name val="Arial"/>
      <family val="0"/>
      <charset val="1"/>
    </font>
    <font>
      <b val="true"/>
      <sz val="9"/>
      <color rgb="FFB45309"/>
      <name val="Arial"/>
      <family val="0"/>
      <charset val="1"/>
    </font>
    <font>
      <i val="true"/>
      <sz val="9"/>
      <color rgb="FF0F5132"/>
      <name val="Arial"/>
      <family val="0"/>
      <charset val="1"/>
    </font>
  </fonts>
  <fills count="9">
    <fill>
      <patternFill patternType="none"/>
    </fill>
    <fill>
      <patternFill patternType="gray125"/>
    </fill>
    <fill>
      <patternFill patternType="solid">
        <fgColor rgb="FF2F3E46"/>
        <bgColor rgb="FF0F5132"/>
      </patternFill>
    </fill>
    <fill>
      <patternFill patternType="solid">
        <fgColor rgb="FFFFF3CD"/>
        <bgColor rgb="FFE9ECEF"/>
      </patternFill>
    </fill>
    <fill>
      <patternFill patternType="solid">
        <fgColor rgb="FFD1E7DD"/>
        <bgColor rgb="FFD4EDDA"/>
      </patternFill>
    </fill>
    <fill>
      <patternFill patternType="solid">
        <fgColor rgb="FFF8D7DA"/>
        <bgColor rgb="FFE9ECEF"/>
      </patternFill>
    </fill>
    <fill>
      <patternFill patternType="solid">
        <fgColor rgb="FFE9ECEF"/>
        <bgColor rgb="FFD4EDDA"/>
      </patternFill>
    </fill>
    <fill>
      <patternFill patternType="solid">
        <fgColor rgb="FFD4EDDA"/>
        <bgColor rgb="FFD1E7DD"/>
      </patternFill>
    </fill>
    <fill>
      <patternFill patternType="solid">
        <fgColor rgb="FFFFFF00"/>
        <bgColor rgb="FFFFFF00"/>
      </patternFill>
    </fill>
  </fills>
  <borders count="2">
    <border diagonalUp="false" diagonalDown="false">
      <left/>
      <right/>
      <top/>
      <bottom/>
      <diagonal/>
    </border>
    <border diagonalUp="false" diagonalDown="false">
      <left style="thin">
        <color rgb="FFBBBBBB"/>
      </left>
      <right style="thin">
        <color rgb="FFBBBBBB"/>
      </right>
      <top style="thin">
        <color rgb="FFBBBBBB"/>
      </top>
      <bottom style="thin">
        <color rgb="FFBBBBBB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38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fals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6" fillId="2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7" fillId="0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7" fillId="0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5" fontId="8" fillId="0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5" fontId="9" fillId="0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10" fillId="3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5" fontId="7" fillId="0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7" fillId="3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7" fillId="4" borderId="0" xfId="0" applyFont="true" applyBorder="false" applyAlignment="true" applyProtection="false">
      <alignment horizontal="general" vertical="top" textRotation="0" wrapText="true" indent="0" shrinkToFit="false"/>
      <protection locked="true" hidden="false"/>
    </xf>
    <xf numFmtId="164" fontId="7" fillId="4" borderId="0" xfId="0" applyFont="true" applyBorder="false" applyAlignment="true" applyProtection="false">
      <alignment horizontal="center" vertical="bottom" textRotation="0" wrapText="false" indent="0" shrinkToFit="false"/>
      <protection locked="true" hidden="false"/>
    </xf>
    <xf numFmtId="165" fontId="7" fillId="4" borderId="0" xfId="0" applyFont="true" applyBorder="false" applyAlignment="true" applyProtection="false">
      <alignment horizontal="general" vertical="top" textRotation="0" wrapText="true" indent="0" shrinkToFit="false"/>
      <protection locked="true" hidden="false"/>
    </xf>
    <xf numFmtId="165" fontId="9" fillId="4" borderId="0" xfId="0" applyFont="true" applyBorder="false" applyAlignment="true" applyProtection="false">
      <alignment horizontal="general" vertical="top" textRotation="0" wrapText="true" indent="0" shrinkToFit="false"/>
      <protection locked="true" hidden="false"/>
    </xf>
    <xf numFmtId="164" fontId="7" fillId="3" borderId="0" xfId="0" applyFont="true" applyBorder="false" applyAlignment="true" applyProtection="false">
      <alignment horizontal="center" vertical="bottom" textRotation="0" wrapText="false" indent="0" shrinkToFit="false"/>
      <protection locked="true" hidden="false"/>
    </xf>
    <xf numFmtId="164" fontId="7" fillId="4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7" fillId="4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5" fontId="7" fillId="4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5" fontId="9" fillId="4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6" fontId="7" fillId="4" borderId="0" xfId="0" applyFont="true" applyBorder="false" applyAlignment="true" applyProtection="false">
      <alignment horizontal="general" vertical="top" textRotation="0" wrapText="true" indent="0" shrinkToFit="false"/>
      <protection locked="true" hidden="false"/>
    </xf>
    <xf numFmtId="166" fontId="9" fillId="4" borderId="0" xfId="0" applyFont="true" applyBorder="false" applyAlignment="true" applyProtection="false">
      <alignment horizontal="general" vertical="top" textRotation="0" wrapText="true" indent="0" shrinkToFit="false"/>
      <protection locked="true" hidden="false"/>
    </xf>
    <xf numFmtId="164" fontId="7" fillId="5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7" fillId="5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5" fontId="7" fillId="5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5" fontId="9" fillId="5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9" fillId="6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5" fontId="9" fillId="6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5" fontId="4" fillId="7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11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12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6" fillId="2" borderId="1" xfId="0" applyFont="true" applyBorder="true" applyAlignment="true" applyProtection="false">
      <alignment horizontal="center" vertical="bottom" textRotation="0" wrapText="true" indent="0" shrinkToFit="false"/>
      <protection locked="true" hidden="false"/>
    </xf>
    <xf numFmtId="164" fontId="10" fillId="3" borderId="1" xfId="0" applyFont="true" applyBorder="true" applyAlignment="true" applyProtection="false">
      <alignment horizontal="center" vertical="top" textRotation="0" wrapText="false" indent="0" shrinkToFit="false"/>
      <protection locked="true" hidden="false"/>
    </xf>
    <xf numFmtId="164" fontId="7" fillId="0" borderId="1" xfId="0" applyFont="true" applyBorder="true" applyAlignment="true" applyProtection="false">
      <alignment horizontal="center" vertical="top" textRotation="0" wrapText="false" indent="0" shrinkToFit="false"/>
      <protection locked="true" hidden="false"/>
    </xf>
    <xf numFmtId="164" fontId="9" fillId="8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7" fillId="0" borderId="0" xfId="0" applyFont="true" applyBorder="false" applyAlignment="true" applyProtection="false">
      <alignment horizontal="general" vertical="top" textRotation="0" wrapText="true" indent="0" shrinkToFit="false"/>
      <protection locked="true" hidden="false"/>
    </xf>
    <xf numFmtId="164" fontId="9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BBBBBB"/>
      <rgbColor rgb="FF808080"/>
      <rgbColor rgb="FF9999FF"/>
      <rgbColor rgb="FF993366"/>
      <rgbColor rgb="FFFFF3CD"/>
      <rgbColor rgb="FFD1E7DD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E9ECEF"/>
      <rgbColor rgb="FFD4EDDA"/>
      <rgbColor rgb="FFFFFF99"/>
      <rgbColor rgb="FF99CCFF"/>
      <rgbColor rgb="FFFF99CC"/>
      <rgbColor rgb="FFCC99FF"/>
      <rgbColor rgb="FFF8D7DA"/>
      <rgbColor rgb="FF3366FF"/>
      <rgbColor rgb="FF33CCCC"/>
      <rgbColor rgb="FF99CC00"/>
      <rgbColor rgb="FFFFCC00"/>
      <rgbColor rgb="FFFF9900"/>
      <rgbColor rgb="FFFF6600"/>
      <rgbColor rgb="FF666666"/>
      <rgbColor rgb="FF969696"/>
      <rgbColor rgb="FF003366"/>
      <rgbColor rgb="FF339966"/>
      <rgbColor rgb="FF0F5132"/>
      <rgbColor rgb="FF333300"/>
      <rgbColor rgb="FFB45309"/>
      <rgbColor rgb="FF993366"/>
      <rgbColor rgb="FF333399"/>
      <rgbColor rgb="FF2F3E46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L43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pane xSplit="0" ySplit="5" topLeftCell="A6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1" width="9"/>
    <col collapsed="false" customWidth="true" hidden="false" outlineLevel="0" max="2" min="2" style="1" width="11"/>
    <col collapsed="false" customWidth="true" hidden="false" outlineLevel="0" max="3" min="3" style="1" width="42"/>
    <col collapsed="false" customWidth="true" hidden="false" outlineLevel="0" max="4" min="4" style="1" width="26"/>
    <col collapsed="false" customWidth="true" hidden="false" outlineLevel="0" max="5" min="5" style="1" width="19"/>
    <col collapsed="false" customWidth="true" hidden="false" outlineLevel="0" max="6" min="6" style="1" width="44"/>
    <col collapsed="false" customWidth="true" hidden="false" outlineLevel="0" max="7" min="7" style="1" width="6"/>
    <col collapsed="false" customWidth="true" hidden="false" outlineLevel="0" max="8" min="8" style="1" width="11"/>
    <col collapsed="false" customWidth="true" hidden="false" outlineLevel="0" max="9" min="9" style="1" width="12"/>
    <col collapsed="false" customWidth="true" hidden="false" outlineLevel="0" max="10" min="10" style="1" width="11"/>
    <col collapsed="false" customWidth="true" hidden="false" outlineLevel="0" max="11" min="11" style="1" width="10"/>
    <col collapsed="false" customWidth="true" hidden="false" outlineLevel="0" max="12" min="12" style="1" width="46"/>
  </cols>
  <sheetData>
    <row r="1" customFormat="false" ht="15.75" hidden="false" customHeight="true" outlineLevel="0" collapsed="false">
      <c r="A1" s="2" t="s">
        <v>0</v>
      </c>
    </row>
    <row r="2" customFormat="false" ht="15" hidden="false" customHeight="true" outlineLevel="0" collapsed="false">
      <c r="A2" s="3" t="s">
        <v>1</v>
      </c>
    </row>
    <row r="3" customFormat="false" ht="15" hidden="false" customHeight="true" outlineLevel="0" collapsed="false">
      <c r="A3" s="3" t="s">
        <v>2</v>
      </c>
    </row>
    <row r="5" customFormat="false" ht="30" hidden="false" customHeight="true" outlineLevel="0" collapsed="false">
      <c r="A5" s="4" t="s">
        <v>3</v>
      </c>
      <c r="B5" s="4" t="s">
        <v>4</v>
      </c>
      <c r="C5" s="4" t="s">
        <v>5</v>
      </c>
      <c r="D5" s="4" t="s">
        <v>6</v>
      </c>
      <c r="E5" s="4" t="s">
        <v>7</v>
      </c>
      <c r="F5" s="4" t="s">
        <v>8</v>
      </c>
      <c r="G5" s="4" t="s">
        <v>9</v>
      </c>
      <c r="H5" s="4" t="s">
        <v>10</v>
      </c>
      <c r="I5" s="4" t="s">
        <v>11</v>
      </c>
      <c r="J5" s="4" t="s">
        <v>12</v>
      </c>
      <c r="K5" s="4" t="s">
        <v>13</v>
      </c>
      <c r="L5" s="4" t="s">
        <v>14</v>
      </c>
    </row>
    <row r="6" customFormat="false" ht="15" hidden="false" customHeight="true" outlineLevel="0" collapsed="false">
      <c r="A6" s="5" t="s">
        <v>15</v>
      </c>
      <c r="B6" s="5" t="s">
        <v>16</v>
      </c>
      <c r="C6" s="5" t="s">
        <v>17</v>
      </c>
      <c r="D6" s="5" t="s">
        <v>18</v>
      </c>
      <c r="E6" s="5" t="s">
        <v>19</v>
      </c>
      <c r="F6" s="5" t="s">
        <v>20</v>
      </c>
      <c r="G6" s="6" t="n">
        <v>1</v>
      </c>
      <c r="H6" s="7" t="n">
        <v>31.99</v>
      </c>
      <c r="I6" s="8" t="n">
        <f aca="false">G6*H6</f>
        <v>31.99</v>
      </c>
      <c r="J6" s="6" t="s">
        <v>21</v>
      </c>
      <c r="K6" s="5"/>
      <c r="L6" s="5" t="s">
        <v>22</v>
      </c>
    </row>
    <row r="7" customFormat="false" ht="23.25" hidden="false" customHeight="true" outlineLevel="0" collapsed="false">
      <c r="A7" s="5" t="s">
        <v>23</v>
      </c>
      <c r="B7" s="5" t="s">
        <v>24</v>
      </c>
      <c r="C7" s="5" t="s">
        <v>25</v>
      </c>
      <c r="D7" s="5" t="s">
        <v>26</v>
      </c>
      <c r="E7" s="5" t="s">
        <v>27</v>
      </c>
      <c r="F7" s="5" t="s">
        <v>28</v>
      </c>
      <c r="G7" s="6" t="n">
        <v>1</v>
      </c>
      <c r="H7" s="7" t="n">
        <v>4.49</v>
      </c>
      <c r="I7" s="8" t="n">
        <f aca="false">G7*H7</f>
        <v>4.49</v>
      </c>
      <c r="J7" s="6" t="s">
        <v>21</v>
      </c>
      <c r="K7" s="9" t="s">
        <v>29</v>
      </c>
      <c r="L7" s="5" t="s">
        <v>30</v>
      </c>
    </row>
    <row r="8" customFormat="false" ht="23.25" hidden="false" customHeight="true" outlineLevel="0" collapsed="false">
      <c r="A8" s="5" t="s">
        <v>31</v>
      </c>
      <c r="B8" s="5" t="s">
        <v>32</v>
      </c>
      <c r="C8" s="5" t="s">
        <v>33</v>
      </c>
      <c r="D8" s="5" t="s">
        <v>34</v>
      </c>
      <c r="E8" s="5" t="s">
        <v>27</v>
      </c>
      <c r="F8" s="5" t="s">
        <v>35</v>
      </c>
      <c r="G8" s="6" t="n">
        <v>1</v>
      </c>
      <c r="H8" s="7" t="n">
        <v>12.22</v>
      </c>
      <c r="I8" s="8" t="n">
        <f aca="false">G8*H8</f>
        <v>12.22</v>
      </c>
      <c r="J8" s="6" t="s">
        <v>21</v>
      </c>
      <c r="K8" s="9" t="s">
        <v>36</v>
      </c>
      <c r="L8" s="5" t="s">
        <v>37</v>
      </c>
    </row>
    <row r="9" customFormat="false" ht="15" hidden="false" customHeight="true" outlineLevel="0" collapsed="false">
      <c r="A9" s="5" t="s">
        <v>38</v>
      </c>
      <c r="B9" s="5" t="s">
        <v>39</v>
      </c>
      <c r="C9" s="5" t="s">
        <v>40</v>
      </c>
      <c r="D9" s="5" t="s">
        <v>41</v>
      </c>
      <c r="E9" s="5" t="s">
        <v>27</v>
      </c>
      <c r="F9" s="5" t="s">
        <v>42</v>
      </c>
      <c r="G9" s="6" t="n">
        <v>1</v>
      </c>
      <c r="H9" s="7" t="n">
        <v>0.06</v>
      </c>
      <c r="I9" s="8" t="n">
        <f aca="false">G9*H9</f>
        <v>0.06</v>
      </c>
      <c r="J9" s="6" t="s">
        <v>21</v>
      </c>
      <c r="K9" s="5" t="s">
        <v>43</v>
      </c>
      <c r="L9" s="5" t="s">
        <v>44</v>
      </c>
    </row>
    <row r="11" customFormat="false" ht="23.25" hidden="false" customHeight="true" outlineLevel="0" collapsed="false">
      <c r="A11" s="5" t="s">
        <v>45</v>
      </c>
      <c r="B11" s="5" t="s">
        <v>46</v>
      </c>
      <c r="C11" s="5" t="s">
        <v>47</v>
      </c>
      <c r="D11" s="5" t="s">
        <v>48</v>
      </c>
      <c r="E11" s="5" t="s">
        <v>49</v>
      </c>
      <c r="F11" s="5" t="s">
        <v>50</v>
      </c>
      <c r="G11" s="6" t="n">
        <v>4</v>
      </c>
      <c r="H11" s="10" t="n">
        <v>6.5</v>
      </c>
      <c r="I11" s="8" t="n">
        <f aca="false">G11*H11</f>
        <v>26</v>
      </c>
      <c r="J11" s="11" t="s">
        <v>51</v>
      </c>
      <c r="K11" s="5"/>
      <c r="L11" s="5" t="s">
        <v>52</v>
      </c>
    </row>
    <row r="12" customFormat="false" ht="15" hidden="false" customHeight="true" outlineLevel="0" collapsed="false">
      <c r="A12" s="5" t="s">
        <v>53</v>
      </c>
      <c r="B12" s="5" t="s">
        <v>46</v>
      </c>
      <c r="C12" s="5" t="s">
        <v>54</v>
      </c>
      <c r="D12" s="5" t="s">
        <v>55</v>
      </c>
      <c r="E12" s="5" t="s">
        <v>27</v>
      </c>
      <c r="F12" s="5" t="s">
        <v>56</v>
      </c>
      <c r="G12" s="6" t="n">
        <v>4</v>
      </c>
      <c r="H12" s="10" t="n">
        <v>1.1</v>
      </c>
      <c r="I12" s="8" t="n">
        <f aca="false">G12*H12</f>
        <v>4.4</v>
      </c>
      <c r="J12" s="11" t="s">
        <v>51</v>
      </c>
      <c r="K12" s="5"/>
      <c r="L12" s="5" t="s">
        <v>57</v>
      </c>
    </row>
    <row r="14" customFormat="false" ht="15" hidden="false" customHeight="true" outlineLevel="0" collapsed="false">
      <c r="A14" s="5" t="s">
        <v>58</v>
      </c>
      <c r="B14" s="5" t="s">
        <v>59</v>
      </c>
      <c r="C14" s="5" t="s">
        <v>60</v>
      </c>
      <c r="D14" s="5" t="s">
        <v>61</v>
      </c>
      <c r="E14" s="5" t="s">
        <v>27</v>
      </c>
      <c r="F14" s="5" t="s">
        <v>62</v>
      </c>
      <c r="G14" s="6" t="n">
        <v>20</v>
      </c>
      <c r="H14" s="10" t="n">
        <v>0.08</v>
      </c>
      <c r="I14" s="8" t="n">
        <f aca="false">G14*H14</f>
        <v>1.6</v>
      </c>
      <c r="J14" s="11" t="s">
        <v>51</v>
      </c>
      <c r="K14" s="5"/>
      <c r="L14" s="5" t="s">
        <v>63</v>
      </c>
    </row>
    <row r="15" customFormat="false" ht="15" hidden="false" customHeight="true" outlineLevel="0" collapsed="false">
      <c r="A15" s="5" t="s">
        <v>64</v>
      </c>
      <c r="B15" s="5" t="s">
        <v>59</v>
      </c>
      <c r="C15" s="5" t="s">
        <v>65</v>
      </c>
      <c r="D15" s="5" t="s">
        <v>66</v>
      </c>
      <c r="E15" s="5" t="s">
        <v>27</v>
      </c>
      <c r="F15" s="5" t="s">
        <v>67</v>
      </c>
      <c r="G15" s="6" t="n">
        <v>20</v>
      </c>
      <c r="H15" s="10" t="n">
        <v>0.01</v>
      </c>
      <c r="I15" s="8" t="n">
        <f aca="false">G15*H15</f>
        <v>0.2</v>
      </c>
      <c r="J15" s="11" t="s">
        <v>51</v>
      </c>
      <c r="K15" s="5"/>
      <c r="L15" s="5" t="s">
        <v>63</v>
      </c>
    </row>
    <row r="16" customFormat="false" ht="23.25" hidden="false" customHeight="true" outlineLevel="0" collapsed="false">
      <c r="A16" s="12" t="s">
        <v>68</v>
      </c>
      <c r="B16" s="12" t="s">
        <v>69</v>
      </c>
      <c r="C16" s="12" t="s">
        <v>70</v>
      </c>
      <c r="D16" s="12" t="s">
        <v>71</v>
      </c>
      <c r="E16" s="12" t="s">
        <v>27</v>
      </c>
      <c r="F16" s="12" t="s">
        <v>72</v>
      </c>
      <c r="G16" s="13" t="n">
        <v>4</v>
      </c>
      <c r="H16" s="14" t="n">
        <v>0.01</v>
      </c>
      <c r="I16" s="15" t="n">
        <f aca="false">G16*H16</f>
        <v>0.04</v>
      </c>
      <c r="J16" s="16" t="s">
        <v>51</v>
      </c>
      <c r="K16" s="12"/>
      <c r="L16" s="12" t="s">
        <v>73</v>
      </c>
    </row>
    <row r="17" customFormat="false" ht="15" hidden="false" customHeight="true" outlineLevel="0" collapsed="false"/>
    <row r="18" customFormat="false" ht="15" hidden="false" customHeight="true" outlineLevel="0" collapsed="false">
      <c r="A18" s="17" t="s">
        <v>74</v>
      </c>
      <c r="B18" s="17" t="s">
        <v>75</v>
      </c>
      <c r="C18" s="17" t="s">
        <v>76</v>
      </c>
      <c r="D18" s="17" t="s">
        <v>77</v>
      </c>
      <c r="E18" s="17" t="s">
        <v>78</v>
      </c>
      <c r="F18" s="17" t="s">
        <v>79</v>
      </c>
      <c r="G18" s="18" t="n">
        <v>8</v>
      </c>
      <c r="H18" s="19" t="n">
        <v>0.7</v>
      </c>
      <c r="I18" s="20" t="n">
        <f aca="false">G18*H18</f>
        <v>5.6</v>
      </c>
      <c r="J18" s="18" t="s">
        <v>51</v>
      </c>
      <c r="K18" s="17"/>
      <c r="L18" s="17" t="s">
        <v>80</v>
      </c>
    </row>
    <row r="19" customFormat="false" ht="15" hidden="false" customHeight="true" outlineLevel="0" collapsed="false">
      <c r="A19" s="12" t="s">
        <v>81</v>
      </c>
      <c r="B19" s="12" t="s">
        <v>75</v>
      </c>
      <c r="C19" s="12" t="s">
        <v>82</v>
      </c>
      <c r="D19" s="12" t="s">
        <v>77</v>
      </c>
      <c r="E19" s="12" t="s">
        <v>78</v>
      </c>
      <c r="F19" s="12" t="s">
        <v>83</v>
      </c>
      <c r="G19" s="13" t="n">
        <v>4</v>
      </c>
      <c r="H19" s="14" t="n">
        <v>0.7</v>
      </c>
      <c r="I19" s="15" t="n">
        <f aca="false">G19*H19</f>
        <v>2.8</v>
      </c>
      <c r="J19" s="13" t="s">
        <v>51</v>
      </c>
      <c r="K19" s="12"/>
      <c r="L19" s="12" t="s">
        <v>84</v>
      </c>
    </row>
    <row r="20" customFormat="false" ht="23.25" hidden="false" customHeight="true" outlineLevel="0" collapsed="false">
      <c r="A20" s="12" t="s">
        <v>85</v>
      </c>
      <c r="B20" s="12" t="s">
        <v>46</v>
      </c>
      <c r="C20" s="12" t="s">
        <v>86</v>
      </c>
      <c r="D20" s="12" t="s">
        <v>87</v>
      </c>
      <c r="E20" s="12" t="s">
        <v>88</v>
      </c>
      <c r="F20" s="12" t="s">
        <v>89</v>
      </c>
      <c r="G20" s="13" t="n">
        <v>1</v>
      </c>
      <c r="H20" s="21" t="n">
        <v>1.6</v>
      </c>
      <c r="I20" s="22" t="n">
        <f aca="false">G20*H20</f>
        <v>1.6</v>
      </c>
      <c r="J20" s="16" t="s">
        <v>51</v>
      </c>
      <c r="K20" s="12"/>
      <c r="L20" s="12" t="s">
        <v>90</v>
      </c>
    </row>
    <row r="21" customFormat="false" ht="15" hidden="false" customHeight="true" outlineLevel="0" collapsed="false">
      <c r="A21" s="5" t="s">
        <v>91</v>
      </c>
      <c r="B21" s="5" t="s">
        <v>75</v>
      </c>
      <c r="C21" s="5" t="s">
        <v>92</v>
      </c>
      <c r="D21" s="5"/>
      <c r="E21" s="5" t="s">
        <v>27</v>
      </c>
      <c r="F21" s="5" t="s">
        <v>93</v>
      </c>
      <c r="G21" s="6" t="n">
        <v>1</v>
      </c>
      <c r="H21" s="10" t="n">
        <v>0.8</v>
      </c>
      <c r="I21" s="8" t="n">
        <f aca="false">G21*H21</f>
        <v>0.8</v>
      </c>
      <c r="J21" s="11" t="s">
        <v>51</v>
      </c>
      <c r="K21" s="5"/>
      <c r="L21" s="5"/>
    </row>
    <row r="22" customFormat="false" ht="23.25" hidden="false" customHeight="true" outlineLevel="0" collapsed="false">
      <c r="A22" s="17" t="s">
        <v>94</v>
      </c>
      <c r="B22" s="17" t="s">
        <v>75</v>
      </c>
      <c r="C22" s="17" t="s">
        <v>95</v>
      </c>
      <c r="D22" s="17"/>
      <c r="E22" s="17" t="s">
        <v>96</v>
      </c>
      <c r="F22" s="17" t="s">
        <v>97</v>
      </c>
      <c r="G22" s="18" t="n">
        <v>1</v>
      </c>
      <c r="H22" s="19" t="n">
        <v>1.5</v>
      </c>
      <c r="I22" s="20" t="n">
        <f aca="false">G22*H22</f>
        <v>1.5</v>
      </c>
      <c r="J22" s="18" t="s">
        <v>51</v>
      </c>
      <c r="K22" s="17"/>
      <c r="L22" s="17" t="s">
        <v>98</v>
      </c>
    </row>
    <row r="23" customFormat="false" ht="15" hidden="false" customHeight="true" outlineLevel="0" collapsed="false">
      <c r="A23" s="5" t="s">
        <v>99</v>
      </c>
      <c r="B23" s="5" t="s">
        <v>75</v>
      </c>
      <c r="C23" s="5" t="s">
        <v>100</v>
      </c>
      <c r="D23" s="5"/>
      <c r="E23" s="5" t="s">
        <v>96</v>
      </c>
      <c r="F23" s="5" t="s">
        <v>101</v>
      </c>
      <c r="G23" s="6" t="n">
        <v>1</v>
      </c>
      <c r="H23" s="10" t="n">
        <v>1.5</v>
      </c>
      <c r="I23" s="8" t="n">
        <f aca="false">G23*H23</f>
        <v>1.5</v>
      </c>
      <c r="J23" s="11" t="s">
        <v>51</v>
      </c>
      <c r="K23" s="5"/>
      <c r="L23" s="5" t="s">
        <v>102</v>
      </c>
    </row>
    <row r="24" customFormat="false" ht="15" hidden="false" customHeight="true" outlineLevel="0" collapsed="false">
      <c r="A24" s="23" t="s">
        <v>103</v>
      </c>
      <c r="B24" s="23" t="s">
        <v>75</v>
      </c>
      <c r="C24" s="23" t="s">
        <v>104</v>
      </c>
      <c r="D24" s="23" t="s">
        <v>105</v>
      </c>
      <c r="E24" s="23" t="s">
        <v>27</v>
      </c>
      <c r="F24" s="23" t="s">
        <v>106</v>
      </c>
      <c r="G24" s="24" t="n">
        <v>0</v>
      </c>
      <c r="H24" s="25" t="n">
        <v>0.35</v>
      </c>
      <c r="I24" s="26" t="n">
        <f aca="false">G24*H24</f>
        <v>0</v>
      </c>
      <c r="J24" s="24" t="s">
        <v>51</v>
      </c>
      <c r="K24" s="23"/>
      <c r="L24" s="23" t="s">
        <v>107</v>
      </c>
    </row>
    <row r="25" customFormat="false" ht="23.25" hidden="false" customHeight="true" outlineLevel="0" collapsed="false"/>
    <row r="26" customFormat="false" ht="15" hidden="false" customHeight="true" outlineLevel="0" collapsed="false">
      <c r="A26" s="17" t="s">
        <v>108</v>
      </c>
      <c r="B26" s="17" t="s">
        <v>109</v>
      </c>
      <c r="C26" s="17" t="s">
        <v>110</v>
      </c>
      <c r="D26" s="17" t="s">
        <v>111</v>
      </c>
      <c r="E26" s="17" t="s">
        <v>112</v>
      </c>
      <c r="F26" s="17" t="s">
        <v>113</v>
      </c>
      <c r="G26" s="18" t="n">
        <v>4</v>
      </c>
      <c r="H26" s="19" t="n">
        <v>1.1</v>
      </c>
      <c r="I26" s="20" t="n">
        <f aca="false">G26*H26</f>
        <v>4.4</v>
      </c>
      <c r="J26" s="18" t="s">
        <v>51</v>
      </c>
      <c r="K26" s="17"/>
      <c r="L26" s="17" t="s">
        <v>114</v>
      </c>
    </row>
    <row r="27" customFormat="false" ht="23.25" hidden="false" customHeight="true" outlineLevel="0" collapsed="false">
      <c r="A27" s="5" t="s">
        <v>115</v>
      </c>
      <c r="B27" s="5" t="s">
        <v>109</v>
      </c>
      <c r="C27" s="5" t="s">
        <v>116</v>
      </c>
      <c r="D27" s="5"/>
      <c r="E27" s="5" t="s">
        <v>96</v>
      </c>
      <c r="F27" s="5" t="s">
        <v>117</v>
      </c>
      <c r="G27" s="6" t="n">
        <v>2</v>
      </c>
      <c r="H27" s="10" t="n">
        <v>1.5</v>
      </c>
      <c r="I27" s="8" t="n">
        <f aca="false">G27*H27</f>
        <v>3</v>
      </c>
      <c r="J27" s="11" t="s">
        <v>51</v>
      </c>
      <c r="K27" s="5"/>
      <c r="L27" s="5" t="s">
        <v>118</v>
      </c>
    </row>
    <row r="28" customFormat="false" ht="15" hidden="false" customHeight="true" outlineLevel="0" collapsed="false">
      <c r="A28" s="5" t="s">
        <v>119</v>
      </c>
      <c r="B28" s="5" t="s">
        <v>109</v>
      </c>
      <c r="C28" s="5" t="s">
        <v>120</v>
      </c>
      <c r="D28" s="5"/>
      <c r="E28" s="5" t="s">
        <v>121</v>
      </c>
      <c r="F28" s="5" t="s">
        <v>122</v>
      </c>
      <c r="G28" s="6" t="n">
        <v>1</v>
      </c>
      <c r="H28" s="10" t="n">
        <v>0.8</v>
      </c>
      <c r="I28" s="8" t="n">
        <f aca="false">G28*H28</f>
        <v>0.8</v>
      </c>
      <c r="J28" s="11" t="s">
        <v>51</v>
      </c>
      <c r="K28" s="5"/>
      <c r="L28" s="5" t="s">
        <v>123</v>
      </c>
    </row>
    <row r="29" customFormat="false" ht="23.25" hidden="false" customHeight="true" outlineLevel="0" collapsed="false"/>
    <row r="30" customFormat="false" ht="15" hidden="false" customHeight="true" outlineLevel="0" collapsed="false">
      <c r="A30" s="5" t="s">
        <v>124</v>
      </c>
      <c r="B30" s="5" t="s">
        <v>125</v>
      </c>
      <c r="C30" s="5" t="s">
        <v>126</v>
      </c>
      <c r="D30" s="5"/>
      <c r="E30" s="5" t="s">
        <v>127</v>
      </c>
      <c r="F30" s="5" t="s">
        <v>128</v>
      </c>
      <c r="G30" s="6" t="n">
        <v>1</v>
      </c>
      <c r="H30" s="10" t="n">
        <v>25</v>
      </c>
      <c r="I30" s="8" t="n">
        <f aca="false">G30*H30</f>
        <v>25</v>
      </c>
      <c r="J30" s="11" t="s">
        <v>51</v>
      </c>
      <c r="K30" s="5"/>
      <c r="L30" s="5" t="s">
        <v>129</v>
      </c>
    </row>
    <row r="31" customFormat="false" ht="23.25" hidden="false" customHeight="true" outlineLevel="0" collapsed="false">
      <c r="A31" s="5" t="s">
        <v>130</v>
      </c>
      <c r="B31" s="5" t="s">
        <v>125</v>
      </c>
      <c r="C31" s="5" t="s">
        <v>131</v>
      </c>
      <c r="D31" s="5"/>
      <c r="E31" s="5" t="s">
        <v>127</v>
      </c>
      <c r="F31" s="5"/>
      <c r="G31" s="6" t="n">
        <v>1</v>
      </c>
      <c r="H31" s="10" t="n">
        <v>15</v>
      </c>
      <c r="I31" s="8" t="n">
        <f aca="false">G31*H31</f>
        <v>15</v>
      </c>
      <c r="J31" s="11" t="s">
        <v>51</v>
      </c>
      <c r="K31" s="5"/>
      <c r="L31" s="5"/>
    </row>
    <row r="32" customFormat="false" ht="15" hidden="false" customHeight="true" outlineLevel="0" collapsed="false"/>
    <row r="33" customFormat="false" ht="15" hidden="false" customHeight="true" outlineLevel="0" collapsed="false">
      <c r="A33" s="5" t="s">
        <v>132</v>
      </c>
      <c r="B33" s="5" t="s">
        <v>133</v>
      </c>
      <c r="C33" s="5" t="s">
        <v>134</v>
      </c>
      <c r="D33" s="5"/>
      <c r="E33" s="5" t="s">
        <v>27</v>
      </c>
      <c r="F33" s="5" t="s">
        <v>135</v>
      </c>
      <c r="G33" s="6" t="n">
        <v>1</v>
      </c>
      <c r="H33" s="10" t="n">
        <v>2</v>
      </c>
      <c r="I33" s="8" t="n">
        <f aca="false">G33*H33</f>
        <v>2</v>
      </c>
      <c r="J33" s="11" t="s">
        <v>51</v>
      </c>
      <c r="K33" s="5"/>
      <c r="L33" s="5" t="s">
        <v>136</v>
      </c>
    </row>
    <row r="34" customFormat="false" ht="15" hidden="false" customHeight="true" outlineLevel="0" collapsed="false">
      <c r="A34" s="5" t="s">
        <v>137</v>
      </c>
      <c r="B34" s="5" t="s">
        <v>138</v>
      </c>
      <c r="C34" s="5" t="s">
        <v>139</v>
      </c>
      <c r="D34" s="5"/>
      <c r="E34" s="5" t="s">
        <v>27</v>
      </c>
      <c r="F34" s="5" t="s">
        <v>140</v>
      </c>
      <c r="G34" s="6" t="n">
        <v>1</v>
      </c>
      <c r="H34" s="10" t="n">
        <v>19</v>
      </c>
      <c r="I34" s="8" t="n">
        <f aca="false">G34*H34</f>
        <v>19</v>
      </c>
      <c r="J34" s="11" t="s">
        <v>51</v>
      </c>
      <c r="K34" s="5"/>
      <c r="L34" s="5" t="s">
        <v>141</v>
      </c>
    </row>
    <row r="35" customFormat="false" ht="15.75" hidden="false" customHeight="true" outlineLevel="0" collapsed="false"/>
    <row r="36" customFormat="false" ht="15" hidden="false" customHeight="true" outlineLevel="0" collapsed="false">
      <c r="C36" s="27" t="s">
        <v>142</v>
      </c>
      <c r="I36" s="28" t="n">
        <f aca="false">SUMIF(J6:J34,"Yes",I6:I34)</f>
        <v>48.76</v>
      </c>
    </row>
    <row r="37" customFormat="false" ht="15" hidden="false" customHeight="true" outlineLevel="0" collapsed="false">
      <c r="C37" s="27" t="s">
        <v>143</v>
      </c>
      <c r="I37" s="28" t="n">
        <f aca="false">SUMIF(J6:J34,"No",I6:I34)</f>
        <v>115.24</v>
      </c>
    </row>
    <row r="38" customFormat="false" ht="15" hidden="false" customHeight="true" outlineLevel="0" collapsed="false">
      <c r="C38" s="2" t="s">
        <v>144</v>
      </c>
      <c r="I38" s="29" t="n">
        <f aca="false">I36+I37</f>
        <v>164</v>
      </c>
    </row>
    <row r="39" customFormat="false" ht="15" hidden="false" customHeight="true" outlineLevel="0" collapsed="false"/>
    <row r="40" customFormat="false" ht="15" hidden="false" customHeight="true" outlineLevel="0" collapsed="false">
      <c r="C40" s="3" t="s">
        <v>145</v>
      </c>
    </row>
    <row r="41" customFormat="false" ht="15" hidden="false" customHeight="false" outlineLevel="0" collapsed="false">
      <c r="C41" s="30" t="s">
        <v>146</v>
      </c>
    </row>
    <row r="42" customFormat="false" ht="15" hidden="false" customHeight="true" outlineLevel="0" collapsed="false"/>
    <row r="43" customFormat="false" ht="15" hidden="false" customHeight="false" outlineLevel="0" collapsed="false">
      <c r="C43" s="31" t="s">
        <v>147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F7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1" width="5"/>
    <col collapsed="false" customWidth="true" hidden="false" outlineLevel="0" max="2" min="2" style="1" width="26"/>
    <col collapsed="false" customWidth="true" hidden="false" outlineLevel="0" max="3" min="3" style="1" width="14"/>
    <col collapsed="false" customWidth="true" hidden="false" outlineLevel="0" max="4" min="4" style="1" width="50"/>
    <col collapsed="false" customWidth="true" hidden="false" outlineLevel="0" max="5" min="5" style="1" width="11"/>
    <col collapsed="false" customWidth="true" hidden="false" outlineLevel="0" max="6" min="6" style="1" width="62"/>
  </cols>
  <sheetData>
    <row r="1" customFormat="false" ht="15.75" hidden="false" customHeight="true" outlineLevel="0" collapsed="false">
      <c r="A1" s="2" t="s">
        <v>148</v>
      </c>
    </row>
    <row r="2" customFormat="false" ht="15" hidden="false" customHeight="true" outlineLevel="0" collapsed="false">
      <c r="A2" s="3" t="s">
        <v>149</v>
      </c>
    </row>
    <row r="4" customFormat="false" ht="27.75" hidden="false" customHeight="true" outlineLevel="0" collapsed="false">
      <c r="A4" s="32" t="s">
        <v>150</v>
      </c>
      <c r="B4" s="32" t="s">
        <v>151</v>
      </c>
      <c r="C4" s="32" t="s">
        <v>152</v>
      </c>
      <c r="D4" s="32" t="s">
        <v>153</v>
      </c>
      <c r="E4" s="32" t="s">
        <v>154</v>
      </c>
      <c r="F4" s="32" t="s">
        <v>155</v>
      </c>
    </row>
    <row r="5" customFormat="false" ht="23.25" hidden="false" customHeight="true" outlineLevel="0" collapsed="false">
      <c r="A5" s="5" t="n">
        <v>1</v>
      </c>
      <c r="B5" s="5" t="s">
        <v>156</v>
      </c>
      <c r="C5" s="10" t="n">
        <v>26</v>
      </c>
      <c r="D5" s="5" t="s">
        <v>157</v>
      </c>
      <c r="E5" s="10" t="n">
        <v>13</v>
      </c>
      <c r="F5" s="5" t="s">
        <v>158</v>
      </c>
    </row>
    <row r="6" customFormat="false" ht="15" hidden="false" customHeight="true" outlineLevel="0" collapsed="false">
      <c r="A6" s="5" t="n">
        <v>2</v>
      </c>
      <c r="B6" s="5" t="s">
        <v>159</v>
      </c>
      <c r="C6" s="10" t="n">
        <v>12.22</v>
      </c>
      <c r="D6" s="5" t="s">
        <v>160</v>
      </c>
      <c r="E6" s="10" t="n">
        <v>5.01</v>
      </c>
      <c r="F6" s="5" t="s">
        <v>161</v>
      </c>
    </row>
    <row r="7" customFormat="false" ht="15" hidden="false" customHeight="true" outlineLevel="0" collapsed="false">
      <c r="A7" s="5" t="n">
        <v>3</v>
      </c>
      <c r="B7" s="5" t="s">
        <v>162</v>
      </c>
      <c r="C7" s="10" t="n">
        <v>0</v>
      </c>
      <c r="D7" s="5" t="s">
        <v>163</v>
      </c>
      <c r="E7" s="10" t="n">
        <v>0</v>
      </c>
      <c r="F7" s="5" t="s">
        <v>164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E8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1" width="26"/>
    <col collapsed="false" customWidth="true" hidden="false" outlineLevel="0" max="2" min="2" style="1" width="13"/>
    <col collapsed="false" customWidth="true" hidden="false" outlineLevel="0" max="3" min="3" style="1" width="20"/>
    <col collapsed="false" customWidth="true" hidden="false" outlineLevel="0" max="4" min="4" style="1" width="30"/>
    <col collapsed="false" customWidth="true" hidden="false" outlineLevel="0" max="5" min="5" style="1" width="78"/>
  </cols>
  <sheetData>
    <row r="1" customFormat="false" ht="15.75" hidden="false" customHeight="true" outlineLevel="0" collapsed="false">
      <c r="A1" s="2" t="s">
        <v>165</v>
      </c>
    </row>
    <row r="2" customFormat="false" ht="15" hidden="false" customHeight="true" outlineLevel="0" collapsed="false">
      <c r="A2" s="3" t="s">
        <v>166</v>
      </c>
    </row>
    <row r="4" customFormat="false" ht="27.75" hidden="false" customHeight="true" outlineLevel="0" collapsed="false">
      <c r="A4" s="32" t="s">
        <v>167</v>
      </c>
      <c r="B4" s="32" t="s">
        <v>168</v>
      </c>
      <c r="C4" s="32" t="s">
        <v>169</v>
      </c>
      <c r="D4" s="32" t="s">
        <v>170</v>
      </c>
      <c r="E4" s="32" t="s">
        <v>171</v>
      </c>
    </row>
    <row r="5" customFormat="false" ht="23.25" hidden="false" customHeight="true" outlineLevel="0" collapsed="false">
      <c r="A5" s="5" t="s">
        <v>26</v>
      </c>
      <c r="B5" s="5" t="s">
        <v>28</v>
      </c>
      <c r="C5" s="33" t="s">
        <v>29</v>
      </c>
      <c r="D5" s="5" t="s">
        <v>172</v>
      </c>
      <c r="E5" s="5" t="s">
        <v>173</v>
      </c>
    </row>
    <row r="6" customFormat="false" ht="23.25" hidden="false" customHeight="true" outlineLevel="0" collapsed="false">
      <c r="A6" s="5" t="s">
        <v>174</v>
      </c>
      <c r="B6" s="5" t="s">
        <v>35</v>
      </c>
      <c r="C6" s="33" t="s">
        <v>36</v>
      </c>
      <c r="D6" s="5" t="s">
        <v>175</v>
      </c>
      <c r="E6" s="5" t="s">
        <v>176</v>
      </c>
    </row>
    <row r="7" customFormat="false" ht="15" hidden="false" customHeight="true" outlineLevel="0" collapsed="false">
      <c r="A7" s="5" t="s">
        <v>177</v>
      </c>
      <c r="B7" s="5" t="s">
        <v>42</v>
      </c>
      <c r="C7" s="34" t="s">
        <v>178</v>
      </c>
      <c r="D7" s="5" t="s">
        <v>179</v>
      </c>
      <c r="E7" s="5" t="s">
        <v>180</v>
      </c>
    </row>
    <row r="8" customFormat="false" ht="23.25" hidden="false" customHeight="true" outlineLevel="0" collapsed="false">
      <c r="A8" s="5" t="s">
        <v>181</v>
      </c>
      <c r="B8" s="5" t="s">
        <v>182</v>
      </c>
      <c r="C8" s="34" t="s">
        <v>182</v>
      </c>
      <c r="D8" s="5" t="s">
        <v>49</v>
      </c>
      <c r="E8" s="5" t="s">
        <v>183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B17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1" width="30"/>
    <col collapsed="false" customWidth="true" hidden="false" outlineLevel="0" max="2" min="2" style="1" width="108"/>
  </cols>
  <sheetData>
    <row r="1" customFormat="false" ht="15.75" hidden="false" customHeight="true" outlineLevel="0" collapsed="false">
      <c r="A1" s="2" t="s">
        <v>184</v>
      </c>
    </row>
    <row r="3" customFormat="false" ht="15" hidden="false" customHeight="true" outlineLevel="0" collapsed="false">
      <c r="A3" s="35" t="s">
        <v>185</v>
      </c>
      <c r="B3" s="36" t="s">
        <v>186</v>
      </c>
    </row>
    <row r="4" customFormat="false" ht="15" hidden="false" customHeight="true" outlineLevel="0" collapsed="false">
      <c r="A4" s="37" t="s">
        <v>187</v>
      </c>
      <c r="B4" s="36" t="s">
        <v>188</v>
      </c>
    </row>
    <row r="5" customFormat="false" ht="15" hidden="false" customHeight="true" outlineLevel="0" collapsed="false">
      <c r="A5" s="37" t="s">
        <v>189</v>
      </c>
      <c r="B5" s="36" t="s">
        <v>190</v>
      </c>
    </row>
    <row r="6" customFormat="false" ht="15" hidden="false" customHeight="true" outlineLevel="0" collapsed="false">
      <c r="A6" s="37" t="s">
        <v>191</v>
      </c>
      <c r="B6" s="36" t="s">
        <v>192</v>
      </c>
    </row>
    <row r="7" customFormat="false" ht="15" hidden="false" customHeight="true" outlineLevel="0" collapsed="false">
      <c r="A7" s="37" t="s">
        <v>193</v>
      </c>
      <c r="B7" s="36" t="s">
        <v>194</v>
      </c>
    </row>
    <row r="8" customFormat="false" ht="15" hidden="false" customHeight="true" outlineLevel="0" collapsed="false">
      <c r="A8" s="37" t="s">
        <v>195</v>
      </c>
      <c r="B8" s="36" t="s">
        <v>196</v>
      </c>
    </row>
    <row r="9" customFormat="false" ht="15" hidden="false" customHeight="true" outlineLevel="0" collapsed="false">
      <c r="A9" s="37"/>
      <c r="B9" s="36"/>
    </row>
    <row r="10" customFormat="false" ht="15" hidden="false" customHeight="true" outlineLevel="0" collapsed="false">
      <c r="A10" s="37" t="s">
        <v>197</v>
      </c>
      <c r="B10" s="36" t="s">
        <v>198</v>
      </c>
    </row>
    <row r="11" customFormat="false" ht="15" hidden="false" customHeight="true" outlineLevel="0" collapsed="false">
      <c r="A11" s="37" t="s">
        <v>199</v>
      </c>
      <c r="B11" s="36" t="s">
        <v>200</v>
      </c>
    </row>
    <row r="12" customFormat="false" ht="15" hidden="false" customHeight="true" outlineLevel="0" collapsed="false">
      <c r="A12" s="37" t="s">
        <v>201</v>
      </c>
      <c r="B12" s="36" t="s">
        <v>202</v>
      </c>
    </row>
    <row r="13" customFormat="false" ht="15" hidden="false" customHeight="true" outlineLevel="0" collapsed="false">
      <c r="A13" s="37" t="s">
        <v>203</v>
      </c>
      <c r="B13" s="36" t="s">
        <v>204</v>
      </c>
    </row>
    <row r="14" customFormat="false" ht="15" hidden="false" customHeight="true" outlineLevel="0" collapsed="false">
      <c r="A14" s="37" t="s">
        <v>205</v>
      </c>
      <c r="B14" s="36" t="s">
        <v>206</v>
      </c>
    </row>
    <row r="15" customFormat="false" ht="15" hidden="false" customHeight="true" outlineLevel="0" collapsed="false">
      <c r="A15" s="37"/>
      <c r="B15" s="36"/>
    </row>
    <row r="16" customFormat="false" ht="23.25" hidden="false" customHeight="true" outlineLevel="0" collapsed="false">
      <c r="A16" s="37" t="s">
        <v>207</v>
      </c>
      <c r="B16" s="36" t="s">
        <v>208</v>
      </c>
    </row>
    <row r="17" customFormat="false" ht="15" hidden="false" customHeight="true" outlineLevel="0" collapsed="false">
      <c r="A17" s="37" t="s">
        <v>209</v>
      </c>
      <c r="B17" s="36" t="s">
        <v>210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LibreOffice/26.2.4.2$Linux_AARCH64 LibreOffice_project/620$Build-2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2026-08-05T23:32:10Z</dcterms:created>
  <dc:creator>openpyxl</dc:creator>
  <dc:description/>
  <dc:language>en-US</dc:language>
  <cp:lastModifiedBy/>
  <dcterms:modified xsi:type="dcterms:W3CDTF">2026-08-06T17:30:15Z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